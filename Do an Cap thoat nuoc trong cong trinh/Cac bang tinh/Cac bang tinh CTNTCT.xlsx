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GERPC S Seri\OneDrive\60MNE\Do an Cap thoat nuoc trong cong trinh\Cac bang tinh\"/>
    </mc:Choice>
  </mc:AlternateContent>
  <xr:revisionPtr revIDLastSave="838" documentId="8_{BD2A5FBA-0ADA-42D6-B00A-FF7F0C266EAC}" xr6:coauthVersionLast="43" xr6:coauthVersionMax="43" xr10:uidLastSave="{4737DB4B-2A1D-4863-A317-4C65700987A8}"/>
  <bookViews>
    <workbookView xWindow="-120" yWindow="-120" windowWidth="20730" windowHeight="11310" xr2:uid="{80B84707-24E5-4CA3-8806-AD753B18900B}"/>
  </bookViews>
  <sheets>
    <sheet name="Tinh thuy luc cap" sheetId="1" r:id="rId1"/>
    <sheet name="TH luu luong thoat" sheetId="2" r:id="rId2"/>
  </sheets>
  <definedNames>
    <definedName name="đến_đây" localSheetId="1">'TH luu luong thoat'!$A$1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2" i="1" l="1"/>
  <c r="H55" i="2" l="1"/>
  <c r="H54" i="2"/>
  <c r="H53" i="2"/>
  <c r="H52" i="2"/>
  <c r="G55" i="2"/>
  <c r="G52" i="2"/>
  <c r="E54" i="2"/>
  <c r="E55" i="2"/>
  <c r="D54" i="2"/>
  <c r="D53" i="2"/>
  <c r="D55" i="2"/>
  <c r="D52" i="2"/>
  <c r="E53" i="2"/>
  <c r="F54" i="2"/>
  <c r="F53" i="2"/>
  <c r="C19" i="2" l="1"/>
  <c r="C20" i="2"/>
  <c r="D19" i="2"/>
  <c r="E19" i="2" s="1"/>
  <c r="D20" i="2"/>
  <c r="E20" i="2" s="1"/>
  <c r="D17" i="2"/>
  <c r="E17" i="2" s="1"/>
  <c r="C17" i="2"/>
  <c r="D6" i="2"/>
  <c r="E6" i="2" s="1"/>
  <c r="D7" i="2"/>
  <c r="E7" i="2"/>
  <c r="D8" i="2"/>
  <c r="E8" i="2" s="1"/>
  <c r="D9" i="2"/>
  <c r="E9" i="2"/>
  <c r="C8" i="2"/>
  <c r="C9" i="2"/>
  <c r="C6" i="2"/>
  <c r="D44" i="2" l="1"/>
  <c r="E44" i="2" s="1"/>
  <c r="F44" i="2" s="1"/>
  <c r="D43" i="2"/>
  <c r="E43" i="2" s="1"/>
  <c r="F43" i="2" s="1"/>
  <c r="D42" i="2"/>
  <c r="E42" i="2" s="1"/>
  <c r="F42" i="2" s="1"/>
  <c r="D41" i="2"/>
  <c r="E41" i="2" s="1"/>
  <c r="F41" i="2" s="1"/>
  <c r="D29" i="2"/>
  <c r="E29" i="2" s="1"/>
  <c r="F29" i="2" s="1"/>
  <c r="D30" i="2"/>
  <c r="E30" i="2" s="1"/>
  <c r="F30" i="2" s="1"/>
  <c r="D31" i="2"/>
  <c r="E31" i="2" s="1"/>
  <c r="F31" i="2" s="1"/>
  <c r="D32" i="2"/>
  <c r="E32" i="2" s="1"/>
  <c r="F32" i="2" s="1"/>
  <c r="D33" i="2"/>
  <c r="E33" i="2" s="1"/>
  <c r="F33" i="2" s="1"/>
  <c r="D28" i="2"/>
  <c r="E28" i="2" s="1"/>
  <c r="F28" i="2" s="1"/>
  <c r="C18" i="2" l="1"/>
  <c r="D18" i="2" s="1"/>
  <c r="E18" i="2" s="1"/>
  <c r="C16" i="2"/>
  <c r="D16" i="2" s="1"/>
  <c r="E16" i="2" s="1"/>
  <c r="C5" i="2"/>
  <c r="D5" i="2" s="1"/>
  <c r="E5" i="2" s="1"/>
  <c r="C7" i="2"/>
  <c r="C4" i="2"/>
  <c r="D4" i="2" s="1"/>
  <c r="E4" i="2" s="1"/>
  <c r="K15" i="1" l="1"/>
  <c r="F22" i="1" l="1"/>
  <c r="F68" i="1" l="1"/>
  <c r="F67" i="1"/>
  <c r="F58" i="1"/>
  <c r="F59" i="1"/>
  <c r="F57" i="1"/>
  <c r="F49" i="1"/>
  <c r="F41" i="1"/>
  <c r="F42" i="1"/>
  <c r="F43" i="1"/>
  <c r="F44" i="1"/>
  <c r="F45" i="1"/>
  <c r="F46" i="1"/>
  <c r="F47" i="1"/>
  <c r="F48" i="1"/>
  <c r="F40" i="1"/>
  <c r="F23" i="1"/>
  <c r="F24" i="1"/>
  <c r="F25" i="1"/>
  <c r="F26" i="1"/>
  <c r="F27" i="1"/>
  <c r="F28" i="1"/>
  <c r="F29" i="1"/>
  <c r="F30" i="1"/>
  <c r="F31" i="1"/>
  <c r="F32" i="1"/>
  <c r="F6" i="1"/>
  <c r="F7" i="1"/>
  <c r="F8" i="1"/>
  <c r="F9" i="1"/>
  <c r="F10" i="1"/>
  <c r="F11" i="1"/>
  <c r="F12" i="1"/>
  <c r="F13" i="1"/>
  <c r="F14" i="1"/>
  <c r="F5" i="1"/>
  <c r="E45" i="1" l="1"/>
  <c r="K45" i="1"/>
  <c r="E27" i="1"/>
  <c r="K27" i="1"/>
  <c r="E9" i="1"/>
  <c r="K9" i="1"/>
  <c r="E49" i="1" l="1"/>
  <c r="K49" i="1" l="1"/>
  <c r="K48" i="1"/>
  <c r="E48" i="1"/>
  <c r="K47" i="1"/>
  <c r="E47" i="1"/>
  <c r="K46" i="1"/>
  <c r="E46" i="1"/>
  <c r="K44" i="1"/>
  <c r="E44" i="1"/>
  <c r="K43" i="1"/>
  <c r="E43" i="1"/>
  <c r="K42" i="1"/>
  <c r="E42" i="1"/>
  <c r="K41" i="1"/>
  <c r="E41" i="1"/>
  <c r="K40" i="1"/>
  <c r="E40" i="1"/>
  <c r="E57" i="1"/>
  <c r="K57" i="1"/>
  <c r="E58" i="1"/>
  <c r="K58" i="1"/>
  <c r="M58" i="1" s="1"/>
  <c r="E59" i="1"/>
  <c r="K59" i="1"/>
  <c r="M45" i="1" l="1"/>
  <c r="K50" i="1"/>
  <c r="K60" i="1"/>
  <c r="K68" i="1"/>
  <c r="E68" i="1"/>
  <c r="K67" i="1"/>
  <c r="E67" i="1"/>
  <c r="K69" i="1" l="1"/>
  <c r="E32" i="1"/>
  <c r="K31" i="1"/>
  <c r="E31" i="1"/>
  <c r="K30" i="1"/>
  <c r="E30" i="1"/>
  <c r="K29" i="1"/>
  <c r="E29" i="1"/>
  <c r="K28" i="1"/>
  <c r="E28" i="1"/>
  <c r="K26" i="1"/>
  <c r="E26" i="1"/>
  <c r="K25" i="1"/>
  <c r="E25" i="1"/>
  <c r="K24" i="1"/>
  <c r="E24" i="1"/>
  <c r="K23" i="1"/>
  <c r="E23" i="1"/>
  <c r="K22" i="1"/>
  <c r="E22" i="1"/>
  <c r="K6" i="1"/>
  <c r="K7" i="1"/>
  <c r="K8" i="1"/>
  <c r="K10" i="1"/>
  <c r="K11" i="1"/>
  <c r="K12" i="1"/>
  <c r="K13" i="1"/>
  <c r="K14" i="1"/>
  <c r="K5" i="1"/>
  <c r="E14" i="1"/>
  <c r="E6" i="1"/>
  <c r="E7" i="1"/>
  <c r="E8" i="1"/>
  <c r="E10" i="1"/>
  <c r="E11" i="1"/>
  <c r="E12" i="1"/>
  <c r="E13" i="1"/>
  <c r="E5" i="1"/>
  <c r="K33" i="1" l="1"/>
</calcChain>
</file>

<file path=xl/sharedStrings.xml><?xml version="1.0" encoding="utf-8"?>
<sst xmlns="http://schemas.openxmlformats.org/spreadsheetml/2006/main" count="184" uniqueCount="106">
  <si>
    <t>Đoạn ống</t>
  </si>
  <si>
    <t>Số thiết bị vệ sinh</t>
  </si>
  <si>
    <t>Tổng số đương lượng</t>
  </si>
  <si>
    <t>d (mm)</t>
  </si>
  <si>
    <t>1000*i</t>
  </si>
  <si>
    <t>l (m)</t>
  </si>
  <si>
    <t>h = i.l</t>
  </si>
  <si>
    <t>(m)</t>
  </si>
  <si>
    <t>Xí</t>
  </si>
  <si>
    <t>Chậu rửa</t>
  </si>
  <si>
    <t>Hương sen</t>
  </si>
  <si>
    <t>Tổng</t>
  </si>
  <si>
    <t>A1→A2</t>
  </si>
  <si>
    <t>A2→A3</t>
  </si>
  <si>
    <t>A3→A4</t>
  </si>
  <si>
    <t>A4→A5</t>
  </si>
  <si>
    <t>A5→A6</t>
  </si>
  <si>
    <t>A6→A7</t>
  </si>
  <si>
    <t>A7→A8</t>
  </si>
  <si>
    <t>A8→A9</t>
  </si>
  <si>
    <r>
      <t>q</t>
    </r>
    <r>
      <rPr>
        <vertAlign val="subscript"/>
        <sz val="13"/>
        <color theme="1"/>
        <rFont val="Cambria"/>
        <family val="1"/>
      </rPr>
      <t>c</t>
    </r>
    <r>
      <rPr>
        <sz val="13"/>
        <color theme="1"/>
        <rFont val="Cambria"/>
        <family val="1"/>
      </rPr>
      <t xml:space="preserve"> = q</t>
    </r>
    <r>
      <rPr>
        <vertAlign val="subscript"/>
        <sz val="13"/>
        <color theme="1"/>
        <rFont val="Cambria"/>
        <family val="1"/>
      </rPr>
      <t xml:space="preserve">tt </t>
    </r>
    <r>
      <rPr>
        <sz val="13"/>
        <color theme="1"/>
        <rFont val="Cambria"/>
        <family val="1"/>
      </rPr>
      <t>(l/s)</t>
    </r>
  </si>
  <si>
    <t>Rửa</t>
  </si>
  <si>
    <t>Sen</t>
  </si>
  <si>
    <t>v (m/s)</t>
  </si>
  <si>
    <t>Thống kê tính toán thủy lực cho vùng 2 sử dụng két nước</t>
  </si>
  <si>
    <t>Thống kê tính toán thủy lực cho vùng 1 sử dụng áp lực mạng lưới cấp nước bên ngoài</t>
  </si>
  <si>
    <t>Thống kê tính toán thủy lực ống nhánh cho phòng nghỉ</t>
  </si>
  <si>
    <t>1000i</t>
  </si>
  <si>
    <t>h = il (m)</t>
  </si>
  <si>
    <t>01→02</t>
  </si>
  <si>
    <t>02→03</t>
  </si>
  <si>
    <t>v  (m/s)</t>
  </si>
  <si>
    <t>Thống kê cho tính toán thủy lực ống nhánh cho mỗi phòng vệ sinh hành lang</t>
  </si>
  <si>
    <t>03→C</t>
  </si>
  <si>
    <t>02→C</t>
  </si>
  <si>
    <t>Thống kê tính toán thủy lực cho vùng 3 sử dụng két nước</t>
  </si>
  <si>
    <t>B1→B2</t>
  </si>
  <si>
    <t>B2→B3</t>
  </si>
  <si>
    <t>B3→B4</t>
  </si>
  <si>
    <t>B4→B5</t>
  </si>
  <si>
    <t>B5→B6</t>
  </si>
  <si>
    <t>B6→B7</t>
  </si>
  <si>
    <t>B7→B8</t>
  </si>
  <si>
    <t>B8→B9</t>
  </si>
  <si>
    <t>B9→B10</t>
  </si>
  <si>
    <t>B12→B13</t>
  </si>
  <si>
    <t>B13→B14</t>
  </si>
  <si>
    <t>B14→B15</t>
  </si>
  <si>
    <t>B15→B16</t>
  </si>
  <si>
    <t>B16→B17</t>
  </si>
  <si>
    <t>B17→B18</t>
  </si>
  <si>
    <t>A9→A10</t>
  </si>
  <si>
    <t>A10→M</t>
  </si>
  <si>
    <t>B11→K</t>
  </si>
  <si>
    <t>B18→B19</t>
  </si>
  <si>
    <t>B19→B20</t>
  </si>
  <si>
    <t>B20→B11</t>
  </si>
  <si>
    <t>B10→B11</t>
  </si>
  <si>
    <t xml:space="preserve">Đoạn ống </t>
  </si>
  <si>
    <t>Thiết bị xí</t>
  </si>
  <si>
    <t xml:space="preserve">N </t>
  </si>
  <si>
    <r>
      <t>q</t>
    </r>
    <r>
      <rPr>
        <vertAlign val="subscript"/>
        <sz val="13"/>
        <color theme="1"/>
        <rFont val="Cambria"/>
        <family val="1"/>
      </rPr>
      <t>th</t>
    </r>
    <r>
      <rPr>
        <sz val="13"/>
        <color theme="1"/>
        <rFont val="Cambria"/>
        <family val="1"/>
      </rPr>
      <t xml:space="preserve"> (l/s)</t>
    </r>
  </si>
  <si>
    <t>D1-D2</t>
  </si>
  <si>
    <t>D2-D3</t>
  </si>
  <si>
    <t>E1-E2</t>
  </si>
  <si>
    <t>Tổng hợp lưu lượng nước thải mà các tuyến ống phục vụ xí đến bể tự hoại 2</t>
  </si>
  <si>
    <t>Tổng hợp lưu lượng nước thải mà các tuyến ống phục vụ xí đến bể tự hoại 1</t>
  </si>
  <si>
    <t>Thiết bị vệ sinh</t>
  </si>
  <si>
    <t>N</t>
  </si>
  <si>
    <r>
      <t>q</t>
    </r>
    <r>
      <rPr>
        <b/>
        <vertAlign val="subscript"/>
        <sz val="13"/>
        <color rgb="FF000000"/>
        <rFont val="Cambria"/>
        <family val="1"/>
      </rPr>
      <t>c</t>
    </r>
    <r>
      <rPr>
        <b/>
        <sz val="13"/>
        <color rgb="FF000000"/>
        <rFont val="Cambria"/>
        <family val="1"/>
      </rPr>
      <t xml:space="preserve"> </t>
    </r>
  </si>
  <si>
    <r>
      <t>q</t>
    </r>
    <r>
      <rPr>
        <b/>
        <vertAlign val="subscript"/>
        <sz val="13"/>
        <color rgb="FF000000"/>
        <rFont val="Cambria"/>
        <family val="1"/>
      </rPr>
      <t>th</t>
    </r>
    <r>
      <rPr>
        <b/>
        <sz val="13"/>
        <color rgb="FF000000"/>
        <rFont val="Cambria"/>
        <family val="1"/>
      </rPr>
      <t xml:space="preserve">   </t>
    </r>
  </si>
  <si>
    <t>Chậu rửa mặt</t>
  </si>
  <si>
    <t>(l/s)</t>
  </si>
  <si>
    <t>Tổng hợp lưu lượng nước thải các tuyến ống phục vụ nước xám đến giếng thăm 1</t>
  </si>
  <si>
    <t>M1-M2</t>
  </si>
  <si>
    <t>M2-M3</t>
  </si>
  <si>
    <t>M3-M4</t>
  </si>
  <si>
    <t>M4-G1</t>
  </si>
  <si>
    <t>M5-M3</t>
  </si>
  <si>
    <t>M6-M4</t>
  </si>
  <si>
    <t>Tắm hương sen</t>
  </si>
  <si>
    <t>Tổng hợp lưu lượng nước thải các tuyến ống phục vụ nước xám đến giếng thăm 2</t>
  </si>
  <si>
    <t>N1-N2</t>
  </si>
  <si>
    <t>N3-G2</t>
  </si>
  <si>
    <t>N4-N3</t>
  </si>
  <si>
    <t>N2-N3</t>
  </si>
  <si>
    <t>D3-D4</t>
  </si>
  <si>
    <t>D4-BTH1</t>
  </si>
  <si>
    <t>D5-D6</t>
  </si>
  <si>
    <t>D6-D4</t>
  </si>
  <si>
    <t>E2-E3</t>
  </si>
  <si>
    <t>E3-BTH2</t>
  </si>
  <si>
    <t>E4-E5</t>
  </si>
  <si>
    <t>E5-E3</t>
  </si>
  <si>
    <t>Tổng hợp lưu lượng thoát sân nhà</t>
  </si>
  <si>
    <t>G1-G2</t>
  </si>
  <si>
    <t>G2-G3</t>
  </si>
  <si>
    <r>
      <t>q</t>
    </r>
    <r>
      <rPr>
        <b/>
        <vertAlign val="subscript"/>
        <sz val="13"/>
        <color rgb="FF000000"/>
        <rFont val="Cambria"/>
        <family val="1"/>
      </rPr>
      <t>c</t>
    </r>
    <r>
      <rPr>
        <b/>
        <sz val="13"/>
        <color rgb="FF000000"/>
        <rFont val="Cambria"/>
        <family val="1"/>
      </rPr>
      <t xml:space="preserve"> (l/s)</t>
    </r>
  </si>
  <si>
    <r>
      <t>q</t>
    </r>
    <r>
      <rPr>
        <b/>
        <vertAlign val="subscript"/>
        <sz val="13"/>
        <color rgb="FF000000"/>
        <rFont val="Cambria"/>
        <family val="1"/>
      </rPr>
      <t xml:space="preserve">ra </t>
    </r>
    <r>
      <rPr>
        <b/>
        <sz val="13"/>
        <color rgb="FF000000"/>
        <rFont val="Cambria"/>
        <family val="1"/>
      </rPr>
      <t>(l/s)</t>
    </r>
  </si>
  <si>
    <t>BTH1-G1</t>
  </si>
  <si>
    <t>BTH2-G2</t>
  </si>
  <si>
    <r>
      <t>q</t>
    </r>
    <r>
      <rPr>
        <b/>
        <vertAlign val="subscript"/>
        <sz val="13"/>
        <color rgb="FF000000"/>
        <rFont val="Cambria"/>
        <family val="1"/>
      </rPr>
      <t>dcmax</t>
    </r>
    <r>
      <rPr>
        <b/>
        <sz val="13"/>
        <color rgb="FF000000"/>
        <rFont val="Cambria"/>
        <family val="1"/>
      </rPr>
      <t xml:space="preserve"> (l/s)</t>
    </r>
  </si>
  <si>
    <r>
      <t>q</t>
    </r>
    <r>
      <rPr>
        <vertAlign val="subscript"/>
        <sz val="13"/>
        <color theme="1"/>
        <rFont val="Cambria"/>
        <family val="1"/>
      </rPr>
      <t>c</t>
    </r>
    <r>
      <rPr>
        <sz val="13"/>
        <color theme="1"/>
        <rFont val="Cambria"/>
        <family val="1"/>
      </rPr>
      <t xml:space="preserve"> (l/s) </t>
    </r>
  </si>
  <si>
    <r>
      <t>q</t>
    </r>
    <r>
      <rPr>
        <b/>
        <vertAlign val="subscript"/>
        <sz val="13"/>
        <color rgb="FF000000"/>
        <rFont val="Cambria"/>
        <family val="1"/>
      </rPr>
      <t>th</t>
    </r>
    <r>
      <rPr>
        <b/>
        <sz val="13"/>
        <color rgb="FF000000"/>
        <rFont val="Cambria"/>
        <family val="1"/>
      </rPr>
      <t xml:space="preserve"> (l/s)</t>
    </r>
  </si>
  <si>
    <t>Tổn thất dọc đường trên ống đứng từ Két tới Sen tầng 14</t>
  </si>
  <si>
    <t>Tổn thất dọc đường trên ống nhánh từ Ống đứng tới 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</si>
</sst>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rial"/>
      <family val="2"/>
      <charset val="163"/>
    </font>
    <font>
      <sz val="13"/>
      <color theme="1"/>
      <name val="Cambria"/>
      <family val="1"/>
    </font>
    <font>
      <vertAlign val="subscript"/>
      <sz val="13"/>
      <color theme="1"/>
      <name val="Cambria"/>
      <family val="1"/>
    </font>
    <font>
      <b/>
      <sz val="13"/>
      <color theme="1"/>
      <name val="Cambria"/>
      <family val="1"/>
    </font>
    <font>
      <sz val="11"/>
      <color theme="1"/>
      <name val="Cambria"/>
      <family val="1"/>
    </font>
    <font>
      <sz val="13"/>
      <color theme="1"/>
      <name val="Arial"/>
      <family val="2"/>
      <charset val="163"/>
    </font>
    <font>
      <sz val="13"/>
      <color theme="1"/>
      <name val="Cambria"/>
      <family val="1"/>
      <charset val="163"/>
    </font>
    <font>
      <b/>
      <sz val="13"/>
      <color theme="1"/>
      <name val="Times New Roman"/>
      <family val="1"/>
    </font>
    <font>
      <sz val="13"/>
      <color rgb="FF000000"/>
      <name val="Cambria"/>
      <family val="1"/>
    </font>
    <font>
      <b/>
      <sz val="13"/>
      <color rgb="FF000000"/>
      <name val="Cambria"/>
      <family val="1"/>
    </font>
    <font>
      <b/>
      <vertAlign val="subscript"/>
      <sz val="13"/>
      <color rgb="FF000000"/>
      <name val="Cambria"/>
      <family val="1"/>
    </font>
    <font>
      <b/>
      <i/>
      <sz val="13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justify" vertical="center"/>
    </xf>
    <xf numFmtId="0" fontId="7" fillId="0" borderId="0" xfId="0" applyFont="1"/>
    <xf numFmtId="0" fontId="1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justify" vertical="center"/>
    </xf>
    <xf numFmtId="0" fontId="8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6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/>
    </xf>
    <xf numFmtId="164" fontId="1" fillId="0" borderId="1" xfId="0" applyNumberFormat="1" applyFont="1" applyBorder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2" fontId="8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/>
    </xf>
    <xf numFmtId="0" fontId="1" fillId="0" borderId="5" xfId="0" applyFont="1" applyBorder="1" applyAlignment="1">
      <alignment horizontal="justify" vertical="center"/>
    </xf>
    <xf numFmtId="0" fontId="1" fillId="0" borderId="6" xfId="0" applyFont="1" applyBorder="1" applyAlignment="1">
      <alignment horizontal="justify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justify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B62E-6137-487B-997A-83A7F9FA2857}">
  <dimension ref="A1:P69"/>
  <sheetViews>
    <sheetView tabSelected="1" topLeftCell="A34" workbookViewId="0">
      <selection activeCell="K50" sqref="K50"/>
    </sheetView>
  </sheetViews>
  <sheetFormatPr defaultRowHeight="16.5" x14ac:dyDescent="0.25"/>
  <cols>
    <col min="1" max="1" width="11.5" customWidth="1"/>
    <col min="2" max="3" width="6.875" customWidth="1"/>
    <col min="4" max="4" width="7.875" customWidth="1"/>
    <col min="5" max="5" width="10.125" customWidth="1"/>
    <col min="6" max="6" width="11.75" customWidth="1"/>
    <col min="7" max="7" width="7.75" customWidth="1"/>
    <col min="8" max="8" width="10.375" customWidth="1"/>
    <col min="11" max="11" width="8.875" customWidth="1"/>
    <col min="14" max="16" width="9" style="8"/>
  </cols>
  <sheetData>
    <row r="1" spans="1:16" x14ac:dyDescent="0.25">
      <c r="A1" s="5" t="s">
        <v>25</v>
      </c>
    </row>
    <row r="3" spans="1:16" x14ac:dyDescent="0.25">
      <c r="A3" s="43" t="s">
        <v>0</v>
      </c>
      <c r="B3" s="43" t="s">
        <v>1</v>
      </c>
      <c r="C3" s="43"/>
      <c r="D3" s="43"/>
      <c r="E3" s="48" t="s">
        <v>2</v>
      </c>
      <c r="F3" s="48" t="s">
        <v>20</v>
      </c>
      <c r="G3" s="43" t="s">
        <v>3</v>
      </c>
      <c r="H3" s="43" t="s">
        <v>23</v>
      </c>
      <c r="I3" s="43" t="s">
        <v>4</v>
      </c>
      <c r="J3" s="43" t="s">
        <v>5</v>
      </c>
      <c r="K3" s="1" t="s">
        <v>6</v>
      </c>
      <c r="M3" s="7"/>
      <c r="N3" s="9" t="s">
        <v>8</v>
      </c>
      <c r="O3" s="9" t="s">
        <v>21</v>
      </c>
      <c r="P3" s="9" t="s">
        <v>22</v>
      </c>
    </row>
    <row r="4" spans="1:16" ht="33" x14ac:dyDescent="0.25">
      <c r="A4" s="43"/>
      <c r="B4" s="1" t="s">
        <v>8</v>
      </c>
      <c r="C4" s="21" t="s">
        <v>9</v>
      </c>
      <c r="D4" s="6" t="s">
        <v>10</v>
      </c>
      <c r="E4" s="48"/>
      <c r="F4" s="48"/>
      <c r="G4" s="43"/>
      <c r="H4" s="43"/>
      <c r="I4" s="43"/>
      <c r="J4" s="43"/>
      <c r="K4" s="1" t="s">
        <v>7</v>
      </c>
      <c r="M4" s="7"/>
      <c r="N4" s="9">
        <v>0.5</v>
      </c>
      <c r="O4" s="9">
        <v>0.33</v>
      </c>
      <c r="P4" s="9">
        <v>0.67</v>
      </c>
    </row>
    <row r="5" spans="1:16" x14ac:dyDescent="0.2">
      <c r="A5" s="2" t="s">
        <v>12</v>
      </c>
      <c r="B5" s="2">
        <v>1</v>
      </c>
      <c r="C5" s="2">
        <v>1</v>
      </c>
      <c r="D5" s="3">
        <v>1</v>
      </c>
      <c r="E5" s="2">
        <f>B5*$N$4+C5*$O$4+D5*$P$4</f>
        <v>1.5</v>
      </c>
      <c r="F5" s="11">
        <f>0.2*2*SQRT(E5)</f>
        <v>0.4898979485566356</v>
      </c>
      <c r="G5" s="2">
        <v>25</v>
      </c>
      <c r="H5" s="11">
        <v>0.93</v>
      </c>
      <c r="I5" s="23">
        <v>110.9</v>
      </c>
      <c r="J5" s="11">
        <v>3.3</v>
      </c>
      <c r="K5" s="11">
        <f>I5/1000*J5</f>
        <v>0.36597000000000002</v>
      </c>
      <c r="M5" s="7"/>
      <c r="N5" s="10"/>
      <c r="O5" s="10"/>
      <c r="P5" s="10"/>
    </row>
    <row r="6" spans="1:16" x14ac:dyDescent="0.25">
      <c r="A6" s="2" t="s">
        <v>13</v>
      </c>
      <c r="B6" s="2">
        <v>2</v>
      </c>
      <c r="C6" s="2">
        <v>2</v>
      </c>
      <c r="D6" s="3">
        <v>2</v>
      </c>
      <c r="E6" s="2">
        <f t="shared" ref="E6:E13" si="0">B6*$N$4+C6*$O$4+D6*$P$4</f>
        <v>3</v>
      </c>
      <c r="F6" s="11">
        <f t="shared" ref="F6:F14" si="1">0.2*2*SQRT(E6)</f>
        <v>0.69282032302755092</v>
      </c>
      <c r="G6" s="2">
        <v>25</v>
      </c>
      <c r="H6" s="11">
        <v>1.31</v>
      </c>
      <c r="I6" s="23">
        <v>209.6</v>
      </c>
      <c r="J6" s="11">
        <v>3.3</v>
      </c>
      <c r="K6" s="11">
        <f t="shared" ref="K6:K14" si="2">I6/1000*J6</f>
        <v>0.69167999999999985</v>
      </c>
    </row>
    <row r="7" spans="1:16" x14ac:dyDescent="0.25">
      <c r="A7" s="2" t="s">
        <v>14</v>
      </c>
      <c r="B7" s="2">
        <v>3</v>
      </c>
      <c r="C7" s="2">
        <v>3</v>
      </c>
      <c r="D7" s="3">
        <v>3</v>
      </c>
      <c r="E7" s="2">
        <f t="shared" si="0"/>
        <v>4.5</v>
      </c>
      <c r="F7" s="11">
        <f t="shared" si="1"/>
        <v>0.84852813742385702</v>
      </c>
      <c r="G7" s="2">
        <v>32</v>
      </c>
      <c r="H7" s="11">
        <v>0.89</v>
      </c>
      <c r="I7" s="23">
        <v>69.2</v>
      </c>
      <c r="J7" s="11">
        <v>3.3</v>
      </c>
      <c r="K7" s="11">
        <f t="shared" si="2"/>
        <v>0.22835999999999998</v>
      </c>
    </row>
    <row r="8" spans="1:16" x14ac:dyDescent="0.25">
      <c r="A8" s="2" t="s">
        <v>15</v>
      </c>
      <c r="B8" s="2">
        <v>4</v>
      </c>
      <c r="C8" s="2">
        <v>4</v>
      </c>
      <c r="D8" s="3">
        <v>4</v>
      </c>
      <c r="E8" s="2">
        <f t="shared" si="0"/>
        <v>6</v>
      </c>
      <c r="F8" s="11">
        <f t="shared" si="1"/>
        <v>0.9797958971132712</v>
      </c>
      <c r="G8" s="2">
        <v>32</v>
      </c>
      <c r="H8" s="11">
        <v>1.01</v>
      </c>
      <c r="I8" s="23">
        <v>89.4</v>
      </c>
      <c r="J8" s="11">
        <v>3.7</v>
      </c>
      <c r="K8" s="11">
        <f t="shared" si="2"/>
        <v>0.33078000000000002</v>
      </c>
    </row>
    <row r="9" spans="1:16" x14ac:dyDescent="0.25">
      <c r="A9" s="18" t="s">
        <v>16</v>
      </c>
      <c r="B9" s="18">
        <v>4</v>
      </c>
      <c r="C9" s="18">
        <v>4</v>
      </c>
      <c r="D9" s="3">
        <v>4</v>
      </c>
      <c r="E9" s="18">
        <f t="shared" ref="E9" si="3">B9*$N$4+C9*$O$4+D9*$P$4</f>
        <v>6</v>
      </c>
      <c r="F9" s="11">
        <f t="shared" si="1"/>
        <v>0.9797958971132712</v>
      </c>
      <c r="G9" s="18">
        <v>32</v>
      </c>
      <c r="H9" s="11">
        <v>1.01</v>
      </c>
      <c r="I9" s="23">
        <v>89.4</v>
      </c>
      <c r="J9" s="11">
        <v>6.87</v>
      </c>
      <c r="K9" s="11">
        <f t="shared" ref="K9" si="4">I9/1000*J9</f>
        <v>0.61417800000000011</v>
      </c>
    </row>
    <row r="10" spans="1:16" x14ac:dyDescent="0.25">
      <c r="A10" s="2" t="s">
        <v>17</v>
      </c>
      <c r="B10" s="2">
        <v>8</v>
      </c>
      <c r="C10" s="2">
        <v>8</v>
      </c>
      <c r="D10" s="3">
        <v>8</v>
      </c>
      <c r="E10" s="2">
        <f t="shared" si="0"/>
        <v>12</v>
      </c>
      <c r="F10" s="11">
        <f t="shared" si="1"/>
        <v>1.3856406460551018</v>
      </c>
      <c r="G10" s="2">
        <v>32</v>
      </c>
      <c r="H10" s="11">
        <v>1.46</v>
      </c>
      <c r="I10" s="23">
        <v>179.7</v>
      </c>
      <c r="J10" s="11">
        <v>0.33</v>
      </c>
      <c r="K10" s="11">
        <f t="shared" si="2"/>
        <v>5.9301E-2</v>
      </c>
    </row>
    <row r="11" spans="1:16" x14ac:dyDescent="0.25">
      <c r="A11" s="2" t="s">
        <v>18</v>
      </c>
      <c r="B11" s="2">
        <v>12</v>
      </c>
      <c r="C11" s="2">
        <v>12</v>
      </c>
      <c r="D11" s="3">
        <v>12</v>
      </c>
      <c r="E11" s="2">
        <f t="shared" si="0"/>
        <v>18</v>
      </c>
      <c r="F11" s="11">
        <f t="shared" si="1"/>
        <v>1.697056274847714</v>
      </c>
      <c r="G11" s="2">
        <v>50</v>
      </c>
      <c r="H11" s="11">
        <v>0.8</v>
      </c>
      <c r="I11" s="23">
        <v>34</v>
      </c>
      <c r="J11" s="11">
        <v>6.87</v>
      </c>
      <c r="K11" s="11">
        <f t="shared" si="2"/>
        <v>0.23358000000000001</v>
      </c>
    </row>
    <row r="12" spans="1:16" x14ac:dyDescent="0.25">
      <c r="A12" s="2" t="s">
        <v>19</v>
      </c>
      <c r="B12" s="2">
        <v>16</v>
      </c>
      <c r="C12" s="2">
        <v>16</v>
      </c>
      <c r="D12" s="3">
        <v>16</v>
      </c>
      <c r="E12" s="2">
        <f t="shared" si="0"/>
        <v>24</v>
      </c>
      <c r="F12" s="11">
        <f t="shared" si="1"/>
        <v>1.9595917942265424</v>
      </c>
      <c r="G12" s="2">
        <v>50</v>
      </c>
      <c r="H12" s="11">
        <v>0.92</v>
      </c>
      <c r="I12" s="23">
        <v>43.8</v>
      </c>
      <c r="J12" s="11">
        <v>8.0050000000000008</v>
      </c>
      <c r="K12" s="11">
        <f t="shared" si="2"/>
        <v>0.35061900000000001</v>
      </c>
    </row>
    <row r="13" spans="1:16" x14ac:dyDescent="0.25">
      <c r="A13" s="2" t="s">
        <v>51</v>
      </c>
      <c r="B13" s="2">
        <v>24</v>
      </c>
      <c r="C13" s="2">
        <v>24</v>
      </c>
      <c r="D13" s="3">
        <v>16</v>
      </c>
      <c r="E13" s="2">
        <f t="shared" si="0"/>
        <v>30.64</v>
      </c>
      <c r="F13" s="11">
        <f t="shared" si="1"/>
        <v>2.2141364004956876</v>
      </c>
      <c r="G13" s="2">
        <v>50</v>
      </c>
      <c r="H13" s="11">
        <v>1.04</v>
      </c>
      <c r="I13" s="23">
        <v>54.8</v>
      </c>
      <c r="J13" s="11">
        <v>5.8029999999999999</v>
      </c>
      <c r="K13" s="11">
        <f t="shared" si="2"/>
        <v>0.31800439999999996</v>
      </c>
    </row>
    <row r="14" spans="1:16" x14ac:dyDescent="0.25">
      <c r="A14" s="2" t="s">
        <v>52</v>
      </c>
      <c r="B14" s="2">
        <v>24</v>
      </c>
      <c r="C14" s="2">
        <v>24</v>
      </c>
      <c r="D14" s="3">
        <v>16</v>
      </c>
      <c r="E14" s="2">
        <f t="shared" ref="E14" si="5">B14*$N$4+C14*$O$4+D14*$P$4</f>
        <v>30.64</v>
      </c>
      <c r="F14" s="11">
        <f t="shared" si="1"/>
        <v>2.2141364004956876</v>
      </c>
      <c r="G14" s="2">
        <v>50</v>
      </c>
      <c r="H14" s="11">
        <v>1.04</v>
      </c>
      <c r="I14" s="23">
        <v>54.8</v>
      </c>
      <c r="J14" s="11">
        <v>1.417</v>
      </c>
      <c r="K14" s="11">
        <f t="shared" si="2"/>
        <v>7.7651600000000001E-2</v>
      </c>
    </row>
    <row r="15" spans="1:16" x14ac:dyDescent="0.25">
      <c r="A15" s="45" t="s">
        <v>11</v>
      </c>
      <c r="B15" s="45"/>
      <c r="C15" s="45"/>
      <c r="D15" s="45"/>
      <c r="E15" s="45"/>
      <c r="F15" s="45"/>
      <c r="G15" s="45"/>
      <c r="H15" s="45"/>
      <c r="I15" s="45"/>
      <c r="J15" s="45"/>
      <c r="K15" s="11">
        <f>SUM(K5:K14)</f>
        <v>3.2701239999999996</v>
      </c>
    </row>
    <row r="18" spans="1:11" x14ac:dyDescent="0.25">
      <c r="A18" s="5" t="s">
        <v>24</v>
      </c>
    </row>
    <row r="20" spans="1:11" x14ac:dyDescent="0.25">
      <c r="A20" s="43" t="s">
        <v>0</v>
      </c>
      <c r="B20" s="43" t="s">
        <v>1</v>
      </c>
      <c r="C20" s="43"/>
      <c r="D20" s="43"/>
      <c r="E20" s="48" t="s">
        <v>2</v>
      </c>
      <c r="F20" s="48" t="s">
        <v>20</v>
      </c>
      <c r="G20" s="43" t="s">
        <v>3</v>
      </c>
      <c r="H20" s="43" t="s">
        <v>23</v>
      </c>
      <c r="I20" s="43" t="s">
        <v>4</v>
      </c>
      <c r="J20" s="43" t="s">
        <v>5</v>
      </c>
      <c r="K20" s="1" t="s">
        <v>6</v>
      </c>
    </row>
    <row r="21" spans="1:11" ht="33" x14ac:dyDescent="0.25">
      <c r="A21" s="43"/>
      <c r="B21" s="1" t="s">
        <v>8</v>
      </c>
      <c r="C21" s="21" t="s">
        <v>9</v>
      </c>
      <c r="D21" s="6" t="s">
        <v>10</v>
      </c>
      <c r="E21" s="48"/>
      <c r="F21" s="48"/>
      <c r="G21" s="43"/>
      <c r="H21" s="43"/>
      <c r="I21" s="43"/>
      <c r="J21" s="43"/>
      <c r="K21" s="1" t="s">
        <v>7</v>
      </c>
    </row>
    <row r="22" spans="1:11" x14ac:dyDescent="0.25">
      <c r="A22" s="17" t="s">
        <v>36</v>
      </c>
      <c r="B22" s="16">
        <v>1</v>
      </c>
      <c r="C22" s="2">
        <v>1</v>
      </c>
      <c r="D22" s="3">
        <v>1</v>
      </c>
      <c r="E22" s="2">
        <f>B22*$N$4+C22*$O$4+D22*$P$4</f>
        <v>1.5</v>
      </c>
      <c r="F22" s="11">
        <f>0.2*2*SQRT(E22)</f>
        <v>0.4898979485566356</v>
      </c>
      <c r="G22" s="2">
        <v>25</v>
      </c>
      <c r="H22" s="2">
        <v>0.93</v>
      </c>
      <c r="I22" s="23">
        <v>110.9</v>
      </c>
      <c r="J22" s="11">
        <v>3.3</v>
      </c>
      <c r="K22" s="11">
        <f>I22/1000*J22</f>
        <v>0.36597000000000002</v>
      </c>
    </row>
    <row r="23" spans="1:11" x14ac:dyDescent="0.25">
      <c r="A23" s="17" t="s">
        <v>37</v>
      </c>
      <c r="B23" s="16">
        <v>2</v>
      </c>
      <c r="C23" s="2">
        <v>2</v>
      </c>
      <c r="D23" s="3">
        <v>2</v>
      </c>
      <c r="E23" s="2">
        <f t="shared" ref="E23:E31" si="6">B23*$N$4+C23*$O$4+D23*$P$4</f>
        <v>3</v>
      </c>
      <c r="F23" s="11">
        <f t="shared" ref="F23:F32" si="7">0.2*2*SQRT(E23)</f>
        <v>0.69282032302755092</v>
      </c>
      <c r="G23" s="2">
        <v>25</v>
      </c>
      <c r="H23" s="2">
        <v>1.31</v>
      </c>
      <c r="I23" s="23">
        <v>209.6</v>
      </c>
      <c r="J23" s="11">
        <v>3.3</v>
      </c>
      <c r="K23" s="11">
        <f t="shared" ref="K23:K32" si="8">I23/1000*J23</f>
        <v>0.69167999999999985</v>
      </c>
    </row>
    <row r="24" spans="1:11" x14ac:dyDescent="0.25">
      <c r="A24" s="17" t="s">
        <v>38</v>
      </c>
      <c r="B24" s="16">
        <v>3</v>
      </c>
      <c r="C24" s="2">
        <v>3</v>
      </c>
      <c r="D24" s="3">
        <v>3</v>
      </c>
      <c r="E24" s="2">
        <f t="shared" si="6"/>
        <v>4.5</v>
      </c>
      <c r="F24" s="11">
        <f t="shared" si="7"/>
        <v>0.84852813742385702</v>
      </c>
      <c r="G24" s="2">
        <v>25</v>
      </c>
      <c r="H24" s="2">
        <v>1.59</v>
      </c>
      <c r="I24" s="23">
        <v>309.10000000000002</v>
      </c>
      <c r="J24" s="11">
        <v>3.3</v>
      </c>
      <c r="K24" s="11">
        <f t="shared" si="8"/>
        <v>1.02003</v>
      </c>
    </row>
    <row r="25" spans="1:11" x14ac:dyDescent="0.25">
      <c r="A25" s="17" t="s">
        <v>39</v>
      </c>
      <c r="B25" s="16">
        <v>4</v>
      </c>
      <c r="C25" s="2">
        <v>4</v>
      </c>
      <c r="D25" s="3">
        <v>4</v>
      </c>
      <c r="E25" s="2">
        <f t="shared" si="6"/>
        <v>6</v>
      </c>
      <c r="F25" s="11">
        <f t="shared" si="7"/>
        <v>0.9797958971132712</v>
      </c>
      <c r="G25" s="2">
        <v>32</v>
      </c>
      <c r="H25" s="2">
        <v>1.03</v>
      </c>
      <c r="I25" s="23">
        <v>93.2</v>
      </c>
      <c r="J25" s="11">
        <v>3.3</v>
      </c>
      <c r="K25" s="11">
        <f t="shared" si="8"/>
        <v>0.30756</v>
      </c>
    </row>
    <row r="26" spans="1:11" x14ac:dyDescent="0.25">
      <c r="A26" s="17" t="s">
        <v>40</v>
      </c>
      <c r="B26" s="16">
        <v>5</v>
      </c>
      <c r="C26" s="2">
        <v>5</v>
      </c>
      <c r="D26" s="3">
        <v>5</v>
      </c>
      <c r="E26" s="2">
        <f t="shared" si="6"/>
        <v>7.5</v>
      </c>
      <c r="F26" s="11">
        <f t="shared" si="7"/>
        <v>1.0954451150103324</v>
      </c>
      <c r="G26" s="2">
        <v>32</v>
      </c>
      <c r="H26" s="2">
        <v>1.1499999999999999</v>
      </c>
      <c r="I26" s="23">
        <v>111.9</v>
      </c>
      <c r="J26" s="11">
        <v>2.9</v>
      </c>
      <c r="K26" s="11">
        <f t="shared" si="8"/>
        <v>0.32450999999999997</v>
      </c>
    </row>
    <row r="27" spans="1:11" x14ac:dyDescent="0.25">
      <c r="A27" s="17" t="s">
        <v>41</v>
      </c>
      <c r="B27" s="19">
        <v>5</v>
      </c>
      <c r="C27" s="18">
        <v>5</v>
      </c>
      <c r="D27" s="3">
        <v>5</v>
      </c>
      <c r="E27" s="18">
        <f t="shared" ref="E27" si="9">B27*$N$4+C27*$O$4+D27*$P$4</f>
        <v>7.5</v>
      </c>
      <c r="F27" s="11">
        <f t="shared" si="7"/>
        <v>1.0954451150103324</v>
      </c>
      <c r="G27" s="18">
        <v>32</v>
      </c>
      <c r="H27" s="18">
        <v>1.1499999999999999</v>
      </c>
      <c r="I27" s="23">
        <v>111.9</v>
      </c>
      <c r="J27" s="11">
        <v>6.87</v>
      </c>
      <c r="K27" s="11">
        <f t="shared" ref="K27" si="10">I27/1000*J27</f>
        <v>0.76875300000000002</v>
      </c>
    </row>
    <row r="28" spans="1:11" x14ac:dyDescent="0.25">
      <c r="A28" s="17" t="s">
        <v>42</v>
      </c>
      <c r="B28" s="16">
        <v>10</v>
      </c>
      <c r="C28" s="2">
        <v>10</v>
      </c>
      <c r="D28" s="3">
        <v>10</v>
      </c>
      <c r="E28" s="2">
        <f t="shared" si="6"/>
        <v>15</v>
      </c>
      <c r="F28" s="11">
        <f t="shared" si="7"/>
        <v>1.5491933384829668</v>
      </c>
      <c r="G28" s="2">
        <v>32</v>
      </c>
      <c r="H28" s="2">
        <v>1.62</v>
      </c>
      <c r="I28" s="23">
        <v>220.3</v>
      </c>
      <c r="J28" s="11">
        <v>0.33</v>
      </c>
      <c r="K28" s="11">
        <f t="shared" si="8"/>
        <v>7.2699000000000014E-2</v>
      </c>
    </row>
    <row r="29" spans="1:11" x14ac:dyDescent="0.25">
      <c r="A29" s="17" t="s">
        <v>43</v>
      </c>
      <c r="B29" s="16">
        <v>15</v>
      </c>
      <c r="C29" s="2">
        <v>15</v>
      </c>
      <c r="D29" s="3">
        <v>15</v>
      </c>
      <c r="E29" s="2">
        <f t="shared" si="6"/>
        <v>22.5</v>
      </c>
      <c r="F29" s="11">
        <f t="shared" si="7"/>
        <v>1.8973665961010278</v>
      </c>
      <c r="G29" s="2">
        <v>40</v>
      </c>
      <c r="H29" s="2">
        <v>1.51</v>
      </c>
      <c r="I29" s="23">
        <v>160.30000000000001</v>
      </c>
      <c r="J29" s="11">
        <v>6.87</v>
      </c>
      <c r="K29" s="11">
        <f t="shared" si="8"/>
        <v>1.101261</v>
      </c>
    </row>
    <row r="30" spans="1:11" x14ac:dyDescent="0.25">
      <c r="A30" s="17" t="s">
        <v>44</v>
      </c>
      <c r="B30" s="16">
        <v>20</v>
      </c>
      <c r="C30" s="2">
        <v>20</v>
      </c>
      <c r="D30" s="3">
        <v>20</v>
      </c>
      <c r="E30" s="2">
        <f t="shared" si="6"/>
        <v>30</v>
      </c>
      <c r="F30" s="11">
        <f t="shared" si="7"/>
        <v>2.1908902300206647</v>
      </c>
      <c r="G30" s="2">
        <v>40</v>
      </c>
      <c r="H30" s="2">
        <v>1.75</v>
      </c>
      <c r="I30" s="23">
        <v>215</v>
      </c>
      <c r="J30" s="11">
        <v>7.53</v>
      </c>
      <c r="K30" s="11">
        <f t="shared" si="8"/>
        <v>1.6189500000000001</v>
      </c>
    </row>
    <row r="31" spans="1:11" x14ac:dyDescent="0.25">
      <c r="A31" s="17" t="s">
        <v>57</v>
      </c>
      <c r="B31" s="16">
        <v>30</v>
      </c>
      <c r="C31" s="2">
        <v>30</v>
      </c>
      <c r="D31" s="3">
        <v>20</v>
      </c>
      <c r="E31" s="2">
        <f t="shared" si="6"/>
        <v>38.299999999999997</v>
      </c>
      <c r="F31" s="11">
        <f t="shared" si="7"/>
        <v>2.4754797514825282</v>
      </c>
      <c r="G31" s="2">
        <v>50</v>
      </c>
      <c r="H31" s="2">
        <v>1.18</v>
      </c>
      <c r="I31" s="23">
        <v>69.599999999999994</v>
      </c>
      <c r="J31" s="11">
        <v>16.5</v>
      </c>
      <c r="K31" s="11">
        <f t="shared" si="8"/>
        <v>1.1483999999999999</v>
      </c>
    </row>
    <row r="32" spans="1:11" x14ac:dyDescent="0.25">
      <c r="A32" s="17" t="s">
        <v>53</v>
      </c>
      <c r="B32" s="16">
        <v>50</v>
      </c>
      <c r="C32" s="2">
        <v>50</v>
      </c>
      <c r="D32" s="3">
        <v>40</v>
      </c>
      <c r="E32" s="2">
        <f>B32*$N$4+C32*$O$4+D32*$P$4</f>
        <v>68.3</v>
      </c>
      <c r="F32" s="11">
        <f t="shared" si="7"/>
        <v>3.3057525618231018</v>
      </c>
      <c r="G32" s="37">
        <v>80</v>
      </c>
      <c r="H32" s="37">
        <v>0.66</v>
      </c>
      <c r="I32" s="23">
        <v>13.9</v>
      </c>
      <c r="J32" s="11">
        <v>5.4249999999999998</v>
      </c>
      <c r="K32" s="11">
        <f t="shared" si="8"/>
        <v>7.5407500000000002E-2</v>
      </c>
    </row>
    <row r="33" spans="1:13" x14ac:dyDescent="0.25">
      <c r="A33" s="44" t="s">
        <v>11</v>
      </c>
      <c r="B33" s="45"/>
      <c r="C33" s="45"/>
      <c r="D33" s="45"/>
      <c r="E33" s="45"/>
      <c r="F33" s="45"/>
      <c r="G33" s="45"/>
      <c r="H33" s="45"/>
      <c r="I33" s="45"/>
      <c r="J33" s="45"/>
      <c r="K33" s="11">
        <f>SUM(K22:K32)</f>
        <v>7.4952204999999994</v>
      </c>
    </row>
    <row r="36" spans="1:13" x14ac:dyDescent="0.25">
      <c r="A36" s="5" t="s">
        <v>35</v>
      </c>
    </row>
    <row r="38" spans="1:13" x14ac:dyDescent="0.25">
      <c r="A38" s="43" t="s">
        <v>0</v>
      </c>
      <c r="B38" s="43" t="s">
        <v>1</v>
      </c>
      <c r="C38" s="43"/>
      <c r="D38" s="43"/>
      <c r="E38" s="48" t="s">
        <v>2</v>
      </c>
      <c r="F38" s="48" t="s">
        <v>20</v>
      </c>
      <c r="G38" s="43" t="s">
        <v>3</v>
      </c>
      <c r="H38" s="43" t="s">
        <v>23</v>
      </c>
      <c r="I38" s="43" t="s">
        <v>4</v>
      </c>
      <c r="J38" s="43" t="s">
        <v>5</v>
      </c>
      <c r="K38" s="15" t="s">
        <v>6</v>
      </c>
    </row>
    <row r="39" spans="1:13" ht="33" x14ac:dyDescent="0.25">
      <c r="A39" s="43"/>
      <c r="B39" s="15" t="s">
        <v>8</v>
      </c>
      <c r="C39" s="21" t="s">
        <v>9</v>
      </c>
      <c r="D39" s="14" t="s">
        <v>10</v>
      </c>
      <c r="E39" s="48"/>
      <c r="F39" s="48"/>
      <c r="G39" s="43"/>
      <c r="H39" s="43"/>
      <c r="I39" s="43"/>
      <c r="J39" s="43"/>
      <c r="K39" s="15" t="s">
        <v>7</v>
      </c>
    </row>
    <row r="40" spans="1:13" x14ac:dyDescent="0.25">
      <c r="A40" s="17" t="s">
        <v>45</v>
      </c>
      <c r="B40" s="16">
        <v>1</v>
      </c>
      <c r="C40" s="13">
        <v>1</v>
      </c>
      <c r="D40" s="3">
        <v>1</v>
      </c>
      <c r="E40" s="13">
        <f>B40*$N$4+C40*$O$4+D40*$P$4</f>
        <v>1.5</v>
      </c>
      <c r="F40" s="11">
        <f t="shared" ref="F40:F49" si="11">0.2*2*SQRT(E40)</f>
        <v>0.4898979485566356</v>
      </c>
      <c r="G40" s="20">
        <v>25</v>
      </c>
      <c r="H40" s="20">
        <v>0.93</v>
      </c>
      <c r="I40" s="23">
        <v>110.9</v>
      </c>
      <c r="J40" s="11">
        <v>3.3</v>
      </c>
      <c r="K40" s="11">
        <f>I40/1000*J40</f>
        <v>0.36597000000000002</v>
      </c>
    </row>
    <row r="41" spans="1:13" x14ac:dyDescent="0.25">
      <c r="A41" s="17" t="s">
        <v>46</v>
      </c>
      <c r="B41" s="16">
        <v>2</v>
      </c>
      <c r="C41" s="13">
        <v>2</v>
      </c>
      <c r="D41" s="3">
        <v>2</v>
      </c>
      <c r="E41" s="13">
        <f t="shared" ref="E41:E48" si="12">B41*$N$4+C41*$O$4+D41*$P$4</f>
        <v>3</v>
      </c>
      <c r="F41" s="11">
        <f t="shared" si="11"/>
        <v>0.69282032302755092</v>
      </c>
      <c r="G41" s="20">
        <v>25</v>
      </c>
      <c r="H41" s="20">
        <v>1.31</v>
      </c>
      <c r="I41" s="23">
        <v>209.6</v>
      </c>
      <c r="J41" s="11">
        <v>3.3</v>
      </c>
      <c r="K41" s="11">
        <f t="shared" ref="K41:K49" si="13">I41/1000*J41</f>
        <v>0.69167999999999985</v>
      </c>
    </row>
    <row r="42" spans="1:13" x14ac:dyDescent="0.25">
      <c r="A42" s="17" t="s">
        <v>47</v>
      </c>
      <c r="B42" s="16">
        <v>3</v>
      </c>
      <c r="C42" s="13">
        <v>3</v>
      </c>
      <c r="D42" s="3">
        <v>3</v>
      </c>
      <c r="E42" s="13">
        <f t="shared" si="12"/>
        <v>4.5</v>
      </c>
      <c r="F42" s="11">
        <f t="shared" si="11"/>
        <v>0.84852813742385702</v>
      </c>
      <c r="G42" s="20">
        <v>25</v>
      </c>
      <c r="H42" s="20">
        <v>1.59</v>
      </c>
      <c r="I42" s="23">
        <v>309.10000000000002</v>
      </c>
      <c r="J42" s="11">
        <v>3.3</v>
      </c>
      <c r="K42" s="11">
        <f t="shared" si="13"/>
        <v>1.02003</v>
      </c>
    </row>
    <row r="43" spans="1:13" x14ac:dyDescent="0.25">
      <c r="A43" s="17" t="s">
        <v>48</v>
      </c>
      <c r="B43" s="16">
        <v>4</v>
      </c>
      <c r="C43" s="13">
        <v>4</v>
      </c>
      <c r="D43" s="3">
        <v>4</v>
      </c>
      <c r="E43" s="13">
        <f t="shared" si="12"/>
        <v>6</v>
      </c>
      <c r="F43" s="11">
        <f t="shared" si="11"/>
        <v>0.9797958971132712</v>
      </c>
      <c r="G43" s="22">
        <v>32</v>
      </c>
      <c r="H43" s="22">
        <v>1.03</v>
      </c>
      <c r="I43" s="23">
        <v>93.2</v>
      </c>
      <c r="J43" s="11">
        <v>3.3</v>
      </c>
      <c r="K43" s="11">
        <f t="shared" si="13"/>
        <v>0.30756</v>
      </c>
    </row>
    <row r="44" spans="1:13" x14ac:dyDescent="0.25">
      <c r="A44" s="17" t="s">
        <v>49</v>
      </c>
      <c r="B44" s="16">
        <v>5</v>
      </c>
      <c r="C44" s="13">
        <v>5</v>
      </c>
      <c r="D44" s="3">
        <v>5</v>
      </c>
      <c r="E44" s="13">
        <f t="shared" si="12"/>
        <v>7.5</v>
      </c>
      <c r="F44" s="11">
        <f t="shared" si="11"/>
        <v>1.0954451150103324</v>
      </c>
      <c r="G44" s="20">
        <v>32</v>
      </c>
      <c r="H44" s="20">
        <v>1.1499999999999999</v>
      </c>
      <c r="I44" s="23">
        <v>111.9</v>
      </c>
      <c r="J44" s="11">
        <v>2.9</v>
      </c>
      <c r="K44" s="11">
        <f t="shared" si="13"/>
        <v>0.32450999999999997</v>
      </c>
      <c r="M44" t="s">
        <v>104</v>
      </c>
    </row>
    <row r="45" spans="1:13" x14ac:dyDescent="0.25">
      <c r="A45" s="17" t="s">
        <v>50</v>
      </c>
      <c r="B45" s="19">
        <v>5</v>
      </c>
      <c r="C45" s="18">
        <v>5</v>
      </c>
      <c r="D45" s="3">
        <v>5</v>
      </c>
      <c r="E45" s="18">
        <f t="shared" ref="E45" si="14">B45*$N$4+C45*$O$4+D45*$P$4</f>
        <v>7.5</v>
      </c>
      <c r="F45" s="11">
        <f t="shared" si="11"/>
        <v>1.0954451150103324</v>
      </c>
      <c r="G45" s="20">
        <v>32</v>
      </c>
      <c r="H45" s="20">
        <v>1.1499999999999999</v>
      </c>
      <c r="I45" s="23">
        <v>111.9</v>
      </c>
      <c r="J45" s="11">
        <v>6.87</v>
      </c>
      <c r="K45" s="11">
        <f t="shared" ref="K45" si="15">I45/1000*J45</f>
        <v>0.76875300000000002</v>
      </c>
      <c r="M45" s="66">
        <f>SUM(K45:K49)</f>
        <v>1.3252585000000001</v>
      </c>
    </row>
    <row r="46" spans="1:13" x14ac:dyDescent="0.25">
      <c r="A46" s="17" t="s">
        <v>54</v>
      </c>
      <c r="B46" s="16">
        <v>10</v>
      </c>
      <c r="C46" s="13">
        <v>10</v>
      </c>
      <c r="D46" s="3">
        <v>10</v>
      </c>
      <c r="E46" s="13">
        <f t="shared" si="12"/>
        <v>15</v>
      </c>
      <c r="F46" s="11">
        <f t="shared" si="11"/>
        <v>1.5491933384829668</v>
      </c>
      <c r="G46" s="20">
        <v>32</v>
      </c>
      <c r="H46" s="20">
        <v>1.62</v>
      </c>
      <c r="I46" s="23">
        <v>220.3</v>
      </c>
      <c r="J46" s="11">
        <v>0.33</v>
      </c>
      <c r="K46" s="11">
        <f t="shared" si="13"/>
        <v>7.2699000000000014E-2</v>
      </c>
    </row>
    <row r="47" spans="1:13" x14ac:dyDescent="0.25">
      <c r="A47" s="17" t="s">
        <v>55</v>
      </c>
      <c r="B47" s="16">
        <v>15</v>
      </c>
      <c r="C47" s="13">
        <v>15</v>
      </c>
      <c r="D47" s="3">
        <v>15</v>
      </c>
      <c r="E47" s="13">
        <f t="shared" si="12"/>
        <v>22.5</v>
      </c>
      <c r="F47" s="11">
        <f t="shared" si="11"/>
        <v>1.8973665961010278</v>
      </c>
      <c r="G47" s="20">
        <v>50</v>
      </c>
      <c r="H47" s="20">
        <v>0.89</v>
      </c>
      <c r="I47" s="23">
        <v>41.8</v>
      </c>
      <c r="J47" s="11">
        <v>6.87</v>
      </c>
      <c r="K47" s="11">
        <f t="shared" si="13"/>
        <v>0.28716599999999998</v>
      </c>
      <c r="M47" s="66"/>
    </row>
    <row r="48" spans="1:13" x14ac:dyDescent="0.25">
      <c r="A48" s="17" t="s">
        <v>56</v>
      </c>
      <c r="B48" s="16">
        <v>20</v>
      </c>
      <c r="C48" s="13">
        <v>20</v>
      </c>
      <c r="D48" s="3">
        <v>20</v>
      </c>
      <c r="E48" s="13">
        <f t="shared" si="12"/>
        <v>30</v>
      </c>
      <c r="F48" s="11">
        <f t="shared" si="11"/>
        <v>2.1908902300206647</v>
      </c>
      <c r="G48" s="22">
        <v>70</v>
      </c>
      <c r="H48" s="22">
        <v>0.63</v>
      </c>
      <c r="I48" s="23">
        <v>16.100000000000001</v>
      </c>
      <c r="J48" s="11">
        <v>7.53</v>
      </c>
      <c r="K48" s="11">
        <f t="shared" si="13"/>
        <v>0.12123300000000001</v>
      </c>
    </row>
    <row r="49" spans="1:13" x14ac:dyDescent="0.25">
      <c r="A49" s="17" t="s">
        <v>53</v>
      </c>
      <c r="B49" s="16">
        <v>50</v>
      </c>
      <c r="C49" s="13">
        <v>50</v>
      </c>
      <c r="D49" s="3">
        <v>40</v>
      </c>
      <c r="E49" s="13">
        <f>B49*$N$4+C49*$O$4+D49*$P$4</f>
        <v>68.3</v>
      </c>
      <c r="F49" s="11">
        <f t="shared" si="11"/>
        <v>3.3057525618231018</v>
      </c>
      <c r="G49" s="20">
        <v>80</v>
      </c>
      <c r="H49" s="20">
        <v>0.66</v>
      </c>
      <c r="I49" s="23">
        <v>13.9</v>
      </c>
      <c r="J49" s="11">
        <v>5.4249999999999998</v>
      </c>
      <c r="K49" s="11">
        <f t="shared" si="13"/>
        <v>7.5407500000000002E-2</v>
      </c>
      <c r="M49" s="66"/>
    </row>
    <row r="50" spans="1:13" x14ac:dyDescent="0.25">
      <c r="A50" s="44" t="s">
        <v>11</v>
      </c>
      <c r="B50" s="45"/>
      <c r="C50" s="45"/>
      <c r="D50" s="45"/>
      <c r="E50" s="45"/>
      <c r="F50" s="45"/>
      <c r="G50" s="45"/>
      <c r="H50" s="45"/>
      <c r="I50" s="45"/>
      <c r="J50" s="45"/>
      <c r="K50" s="11">
        <f>SUM(K40:K49)</f>
        <v>4.0350085</v>
      </c>
    </row>
    <row r="53" spans="1:13" x14ac:dyDescent="0.25">
      <c r="A53" s="12" t="s">
        <v>26</v>
      </c>
    </row>
    <row r="55" spans="1:13" ht="16.5" customHeight="1" x14ac:dyDescent="0.25">
      <c r="A55" s="52" t="s">
        <v>0</v>
      </c>
      <c r="B55" s="54" t="s">
        <v>1</v>
      </c>
      <c r="C55" s="55"/>
      <c r="D55" s="56"/>
      <c r="E55" s="46" t="s">
        <v>2</v>
      </c>
      <c r="F55" s="46" t="s">
        <v>20</v>
      </c>
      <c r="G55" s="57" t="s">
        <v>3</v>
      </c>
      <c r="H55" s="57" t="s">
        <v>31</v>
      </c>
      <c r="I55" s="46" t="s">
        <v>27</v>
      </c>
      <c r="J55" s="46" t="s">
        <v>5</v>
      </c>
      <c r="K55" s="46" t="s">
        <v>28</v>
      </c>
    </row>
    <row r="56" spans="1:13" ht="33" x14ac:dyDescent="0.25">
      <c r="A56" s="53"/>
      <c r="B56" s="15" t="s">
        <v>8</v>
      </c>
      <c r="C56" s="21" t="s">
        <v>9</v>
      </c>
      <c r="D56" s="14" t="s">
        <v>10</v>
      </c>
      <c r="E56" s="47"/>
      <c r="F56" s="47"/>
      <c r="G56" s="44"/>
      <c r="H56" s="44"/>
      <c r="I56" s="47"/>
      <c r="J56" s="47"/>
      <c r="K56" s="47"/>
    </row>
    <row r="57" spans="1:13" x14ac:dyDescent="0.25">
      <c r="A57" s="13" t="s">
        <v>29</v>
      </c>
      <c r="B57" s="13">
        <v>1</v>
      </c>
      <c r="C57" s="13">
        <v>0</v>
      </c>
      <c r="D57" s="13">
        <v>0</v>
      </c>
      <c r="E57" s="13">
        <f>B57*$N$4+C57*$O$4+D57*$P$4</f>
        <v>0.5</v>
      </c>
      <c r="F57" s="11">
        <f t="shared" ref="F57:F59" si="16">0.2*2*SQRT(E57)</f>
        <v>0.28284271247461906</v>
      </c>
      <c r="G57" s="13">
        <v>20</v>
      </c>
      <c r="H57" s="11">
        <v>0.87</v>
      </c>
      <c r="I57" s="23">
        <v>133</v>
      </c>
      <c r="J57" s="11">
        <v>1.829</v>
      </c>
      <c r="K57" s="11">
        <f t="shared" ref="K57:K59" si="17">I57/1000*J57</f>
        <v>0.243257</v>
      </c>
      <c r="M57" t="s">
        <v>105</v>
      </c>
    </row>
    <row r="58" spans="1:13" x14ac:dyDescent="0.25">
      <c r="A58" s="13" t="s">
        <v>30</v>
      </c>
      <c r="B58" s="13">
        <v>1</v>
      </c>
      <c r="C58" s="13">
        <v>0</v>
      </c>
      <c r="D58" s="13">
        <v>1</v>
      </c>
      <c r="E58" s="13">
        <f t="shared" ref="E58:E59" si="18">B58*$N$4+C58*$O$4+D58*$P$4</f>
        <v>1.17</v>
      </c>
      <c r="F58" s="11">
        <f t="shared" si="16"/>
        <v>0.43266615305567868</v>
      </c>
      <c r="G58" s="13">
        <v>25</v>
      </c>
      <c r="H58" s="11">
        <v>0.8</v>
      </c>
      <c r="I58" s="23">
        <v>82.5</v>
      </c>
      <c r="J58" s="11">
        <v>1.427</v>
      </c>
      <c r="K58" s="11">
        <f t="shared" si="17"/>
        <v>0.11772750000000001</v>
      </c>
      <c r="M58" s="66">
        <f>SUM(K58:K59)</f>
        <v>0.18082960000000003</v>
      </c>
    </row>
    <row r="59" spans="1:13" x14ac:dyDescent="0.25">
      <c r="A59" s="13" t="s">
        <v>33</v>
      </c>
      <c r="B59" s="13">
        <v>1</v>
      </c>
      <c r="C59" s="13">
        <v>1</v>
      </c>
      <c r="D59" s="13">
        <v>1</v>
      </c>
      <c r="E59" s="13">
        <f t="shared" si="18"/>
        <v>1.5</v>
      </c>
      <c r="F59" s="11">
        <f t="shared" si="16"/>
        <v>0.4898979485566356</v>
      </c>
      <c r="G59" s="13">
        <v>25</v>
      </c>
      <c r="H59" s="11">
        <v>0.93</v>
      </c>
      <c r="I59" s="23">
        <v>110.9</v>
      </c>
      <c r="J59" s="11">
        <v>0.56899999999999995</v>
      </c>
      <c r="K59" s="11">
        <f t="shared" si="17"/>
        <v>6.3102100000000008E-2</v>
      </c>
    </row>
    <row r="60" spans="1:13" x14ac:dyDescent="0.25">
      <c r="A60" s="49" t="s">
        <v>11</v>
      </c>
      <c r="B60" s="50"/>
      <c r="C60" s="50"/>
      <c r="D60" s="50"/>
      <c r="E60" s="50"/>
      <c r="F60" s="50"/>
      <c r="G60" s="50"/>
      <c r="H60" s="50"/>
      <c r="I60" s="50"/>
      <c r="J60" s="51"/>
      <c r="K60" s="11">
        <f>SUM(K57:K59)</f>
        <v>0.42408660000000004</v>
      </c>
    </row>
    <row r="63" spans="1:13" x14ac:dyDescent="0.25">
      <c r="A63" s="12" t="s">
        <v>32</v>
      </c>
    </row>
    <row r="65" spans="1:11" x14ac:dyDescent="0.25">
      <c r="A65" s="52" t="s">
        <v>0</v>
      </c>
      <c r="B65" s="54" t="s">
        <v>1</v>
      </c>
      <c r="C65" s="55"/>
      <c r="D65" s="56"/>
      <c r="E65" s="46" t="s">
        <v>2</v>
      </c>
      <c r="F65" s="46" t="s">
        <v>20</v>
      </c>
      <c r="G65" s="57" t="s">
        <v>3</v>
      </c>
      <c r="H65" s="57" t="s">
        <v>31</v>
      </c>
      <c r="I65" s="46" t="s">
        <v>27</v>
      </c>
      <c r="J65" s="46" t="s">
        <v>5</v>
      </c>
      <c r="K65" s="46" t="s">
        <v>28</v>
      </c>
    </row>
    <row r="66" spans="1:11" ht="33" x14ac:dyDescent="0.25">
      <c r="A66" s="53"/>
      <c r="B66" s="15" t="s">
        <v>8</v>
      </c>
      <c r="C66" s="21" t="s">
        <v>9</v>
      </c>
      <c r="D66" s="14" t="s">
        <v>10</v>
      </c>
      <c r="E66" s="47"/>
      <c r="F66" s="47"/>
      <c r="G66" s="44"/>
      <c r="H66" s="44"/>
      <c r="I66" s="47"/>
      <c r="J66" s="47"/>
      <c r="K66" s="47"/>
    </row>
    <row r="67" spans="1:11" x14ac:dyDescent="0.25">
      <c r="A67" s="4" t="s">
        <v>29</v>
      </c>
      <c r="B67" s="4">
        <v>2</v>
      </c>
      <c r="C67" s="4">
        <v>0</v>
      </c>
      <c r="D67" s="4">
        <v>0</v>
      </c>
      <c r="E67" s="4">
        <f>B67*$N$4+C67*$O$4+D67*$P$4</f>
        <v>1</v>
      </c>
      <c r="F67" s="11">
        <f t="shared" ref="F67:F68" si="19">0.2*2*SQRT(E67)</f>
        <v>0.4</v>
      </c>
      <c r="G67" s="4">
        <v>20</v>
      </c>
      <c r="H67" s="4">
        <v>1.25</v>
      </c>
      <c r="I67" s="23">
        <v>265.60000000000002</v>
      </c>
      <c r="J67" s="11">
        <v>0.69299999999999995</v>
      </c>
      <c r="K67" s="11">
        <f t="shared" ref="K67:K68" si="20">I67/1000*J67</f>
        <v>0.1840608</v>
      </c>
    </row>
    <row r="68" spans="1:11" x14ac:dyDescent="0.25">
      <c r="A68" s="4" t="s">
        <v>34</v>
      </c>
      <c r="B68" s="4">
        <v>2</v>
      </c>
      <c r="C68" s="4">
        <v>2</v>
      </c>
      <c r="D68" s="4">
        <v>0</v>
      </c>
      <c r="E68" s="4">
        <f t="shared" ref="E68" si="21">B68*$N$4+C68*$O$4+D68*$P$4</f>
        <v>1.6600000000000001</v>
      </c>
      <c r="F68" s="11">
        <f t="shared" si="19"/>
        <v>0.51536394906900507</v>
      </c>
      <c r="G68" s="4">
        <v>25</v>
      </c>
      <c r="H68" s="4">
        <v>0.99</v>
      </c>
      <c r="I68" s="23">
        <v>122</v>
      </c>
      <c r="J68" s="11">
        <v>0.11</v>
      </c>
      <c r="K68" s="11">
        <f t="shared" si="20"/>
        <v>1.342E-2</v>
      </c>
    </row>
    <row r="69" spans="1:11" x14ac:dyDescent="0.25">
      <c r="A69" s="45" t="s">
        <v>11</v>
      </c>
      <c r="B69" s="45"/>
      <c r="C69" s="45"/>
      <c r="D69" s="45"/>
      <c r="E69" s="45"/>
      <c r="F69" s="45"/>
      <c r="G69" s="45"/>
      <c r="H69" s="45"/>
      <c r="I69" s="45"/>
      <c r="J69" s="45"/>
      <c r="K69" s="11">
        <f>SUM(K67:K68)</f>
        <v>0.19748079999999998</v>
      </c>
    </row>
  </sheetData>
  <mergeCells count="47">
    <mergeCell ref="J20:J21"/>
    <mergeCell ref="A33:J33"/>
    <mergeCell ref="I3:I4"/>
    <mergeCell ref="J3:J4"/>
    <mergeCell ref="A15:J15"/>
    <mergeCell ref="A20:A21"/>
    <mergeCell ref="B20:D20"/>
    <mergeCell ref="E20:E21"/>
    <mergeCell ref="F20:F21"/>
    <mergeCell ref="G20:G21"/>
    <mergeCell ref="H20:H21"/>
    <mergeCell ref="I20:I21"/>
    <mergeCell ref="A3:A4"/>
    <mergeCell ref="B3:D3"/>
    <mergeCell ref="E3:E4"/>
    <mergeCell ref="F3:F4"/>
    <mergeCell ref="G3:G4"/>
    <mergeCell ref="H3:H4"/>
    <mergeCell ref="A55:A56"/>
    <mergeCell ref="B55:D55"/>
    <mergeCell ref="E55:E56"/>
    <mergeCell ref="F55:F56"/>
    <mergeCell ref="G55:G56"/>
    <mergeCell ref="H55:H56"/>
    <mergeCell ref="H38:H39"/>
    <mergeCell ref="K55:K56"/>
    <mergeCell ref="A60:J60"/>
    <mergeCell ref="A65:A66"/>
    <mergeCell ref="B65:D65"/>
    <mergeCell ref="E65:E66"/>
    <mergeCell ref="F65:F66"/>
    <mergeCell ref="G65:G66"/>
    <mergeCell ref="H65:H66"/>
    <mergeCell ref="I65:I66"/>
    <mergeCell ref="J65:J66"/>
    <mergeCell ref="K65:K66"/>
    <mergeCell ref="I38:I39"/>
    <mergeCell ref="J38:J39"/>
    <mergeCell ref="A50:J50"/>
    <mergeCell ref="A69:J69"/>
    <mergeCell ref="I55:I56"/>
    <mergeCell ref="J55:J56"/>
    <mergeCell ref="A38:A39"/>
    <mergeCell ref="B38:D38"/>
    <mergeCell ref="E38:E39"/>
    <mergeCell ref="F38:F39"/>
    <mergeCell ref="G38:G39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ADE5-B7A1-4E89-8A16-BFA9D48F7ABA}">
  <dimension ref="A1:J55"/>
  <sheetViews>
    <sheetView topLeftCell="A7" workbookViewId="0">
      <selection activeCell="A50" sqref="A50:A51"/>
    </sheetView>
  </sheetViews>
  <sheetFormatPr defaultRowHeight="16.5" x14ac:dyDescent="0.25"/>
  <cols>
    <col min="1" max="1" width="11.625" style="38" customWidth="1"/>
    <col min="2" max="2" width="13" style="38" customWidth="1"/>
    <col min="3" max="3" width="10.75" style="38" customWidth="1"/>
    <col min="4" max="4" width="12.25" style="38" customWidth="1"/>
    <col min="5" max="5" width="10" style="38" customWidth="1"/>
    <col min="6" max="7" width="9" style="38"/>
    <col min="8" max="8" width="11" style="38" customWidth="1"/>
    <col min="9" max="16384" width="9" style="38"/>
  </cols>
  <sheetData>
    <row r="1" spans="1:10" x14ac:dyDescent="0.25">
      <c r="A1" s="5" t="s">
        <v>66</v>
      </c>
    </row>
    <row r="3" spans="1:10" ht="18" x14ac:dyDescent="0.25">
      <c r="A3" s="34" t="s">
        <v>58</v>
      </c>
      <c r="B3" s="34" t="s">
        <v>59</v>
      </c>
      <c r="C3" s="34" t="s">
        <v>60</v>
      </c>
      <c r="D3" s="34" t="s">
        <v>102</v>
      </c>
      <c r="E3" s="34" t="s">
        <v>61</v>
      </c>
      <c r="H3" s="39" t="s">
        <v>8</v>
      </c>
      <c r="I3" s="39" t="s">
        <v>21</v>
      </c>
      <c r="J3" s="39" t="s">
        <v>22</v>
      </c>
    </row>
    <row r="4" spans="1:10" x14ac:dyDescent="0.25">
      <c r="A4" s="35" t="s">
        <v>62</v>
      </c>
      <c r="B4" s="35">
        <v>14</v>
      </c>
      <c r="C4" s="35">
        <f>B4*$H$4</f>
        <v>7</v>
      </c>
      <c r="D4" s="11">
        <f>0.2*2*SQRT(C4)</f>
        <v>1.0583005244258363</v>
      </c>
      <c r="E4" s="11">
        <f>D4+$H$5</f>
        <v>2.6583005244258366</v>
      </c>
      <c r="H4" s="39">
        <v>0.5</v>
      </c>
      <c r="I4" s="39">
        <v>0.33</v>
      </c>
      <c r="J4" s="39">
        <v>0.67</v>
      </c>
    </row>
    <row r="5" spans="1:10" x14ac:dyDescent="0.25">
      <c r="A5" s="35" t="s">
        <v>63</v>
      </c>
      <c r="B5" s="35">
        <v>28</v>
      </c>
      <c r="C5" s="35">
        <f t="shared" ref="C5:C9" si="0">B5*$H$4</f>
        <v>14</v>
      </c>
      <c r="D5" s="11">
        <f t="shared" ref="D5" si="1">0.2*2*SQRT(C5)</f>
        <v>1.4966629547095767</v>
      </c>
      <c r="E5" s="11">
        <f t="shared" ref="E5" si="2">D5+$H$5</f>
        <v>3.0966629547095765</v>
      </c>
      <c r="H5" s="39">
        <v>1.6</v>
      </c>
      <c r="I5" s="39">
        <v>0.1</v>
      </c>
      <c r="J5" s="39">
        <v>0.2</v>
      </c>
    </row>
    <row r="6" spans="1:10" x14ac:dyDescent="0.25">
      <c r="A6" s="35" t="s">
        <v>86</v>
      </c>
      <c r="B6" s="35">
        <v>28</v>
      </c>
      <c r="C6" s="35">
        <f t="shared" si="0"/>
        <v>14</v>
      </c>
      <c r="D6" s="11">
        <f t="shared" ref="D6:D9" si="3">0.2*2*SQRT(C6)</f>
        <v>1.4966629547095767</v>
      </c>
      <c r="E6" s="11">
        <f t="shared" ref="E6:E9" si="4">D6+$H$5</f>
        <v>3.0966629547095765</v>
      </c>
      <c r="H6" s="39"/>
      <c r="I6" s="39"/>
      <c r="J6" s="39"/>
    </row>
    <row r="7" spans="1:10" x14ac:dyDescent="0.25">
      <c r="A7" s="35" t="s">
        <v>87</v>
      </c>
      <c r="B7" s="35">
        <v>42</v>
      </c>
      <c r="C7" s="35">
        <f t="shared" si="0"/>
        <v>21</v>
      </c>
      <c r="D7" s="11">
        <f t="shared" si="3"/>
        <v>1.833030277982336</v>
      </c>
      <c r="E7" s="11">
        <f t="shared" si="4"/>
        <v>3.4330302779823363</v>
      </c>
    </row>
    <row r="8" spans="1:10" x14ac:dyDescent="0.25">
      <c r="A8" s="35" t="s">
        <v>88</v>
      </c>
      <c r="B8" s="35">
        <v>14</v>
      </c>
      <c r="C8" s="35">
        <f t="shared" si="0"/>
        <v>7</v>
      </c>
      <c r="D8" s="11">
        <f t="shared" si="3"/>
        <v>1.0583005244258363</v>
      </c>
      <c r="E8" s="11">
        <f t="shared" si="4"/>
        <v>2.6583005244258366</v>
      </c>
    </row>
    <row r="9" spans="1:10" x14ac:dyDescent="0.25">
      <c r="A9" s="35" t="s">
        <v>89</v>
      </c>
      <c r="B9" s="35">
        <v>14</v>
      </c>
      <c r="C9" s="35">
        <f t="shared" si="0"/>
        <v>7</v>
      </c>
      <c r="D9" s="11">
        <f t="shared" si="3"/>
        <v>1.0583005244258363</v>
      </c>
      <c r="E9" s="11">
        <f t="shared" si="4"/>
        <v>2.6583005244258366</v>
      </c>
    </row>
    <row r="13" spans="1:10" x14ac:dyDescent="0.25">
      <c r="A13" s="5" t="s">
        <v>65</v>
      </c>
    </row>
    <row r="15" spans="1:10" ht="18" x14ac:dyDescent="0.25">
      <c r="A15" s="34" t="s">
        <v>58</v>
      </c>
      <c r="B15" s="34" t="s">
        <v>59</v>
      </c>
      <c r="C15" s="34" t="s">
        <v>60</v>
      </c>
      <c r="D15" s="34" t="s">
        <v>102</v>
      </c>
      <c r="E15" s="34" t="s">
        <v>61</v>
      </c>
    </row>
    <row r="16" spans="1:10" x14ac:dyDescent="0.25">
      <c r="A16" s="35" t="s">
        <v>64</v>
      </c>
      <c r="B16" s="35">
        <v>14</v>
      </c>
      <c r="C16" s="35">
        <f>B16*$H$4</f>
        <v>7</v>
      </c>
      <c r="D16" s="11">
        <f>0.2*2*SQRT(C16)</f>
        <v>1.0583005244258363</v>
      </c>
      <c r="E16" s="11">
        <f>D16+$H$5</f>
        <v>2.6583005244258366</v>
      </c>
    </row>
    <row r="17" spans="1:7" x14ac:dyDescent="0.25">
      <c r="A17" s="35" t="s">
        <v>90</v>
      </c>
      <c r="B17" s="35">
        <v>14</v>
      </c>
      <c r="C17" s="35">
        <f>B17*$H$4</f>
        <v>7</v>
      </c>
      <c r="D17" s="11">
        <f>0.2*2*SQRT(C17)</f>
        <v>1.0583005244258363</v>
      </c>
      <c r="E17" s="11">
        <f>D17+$H$5</f>
        <v>2.6583005244258366</v>
      </c>
    </row>
    <row r="18" spans="1:7" x14ac:dyDescent="0.25">
      <c r="A18" s="35" t="s">
        <v>91</v>
      </c>
      <c r="B18" s="35">
        <v>42</v>
      </c>
      <c r="C18" s="35">
        <f>B18*$H$4</f>
        <v>21</v>
      </c>
      <c r="D18" s="11">
        <f t="shared" ref="D18" si="5">0.2*2*SQRT(C18)</f>
        <v>1.833030277982336</v>
      </c>
      <c r="E18" s="11">
        <f>D18+$H$5</f>
        <v>3.4330302779823363</v>
      </c>
    </row>
    <row r="19" spans="1:7" x14ac:dyDescent="0.25">
      <c r="A19" s="35" t="s">
        <v>92</v>
      </c>
      <c r="B19" s="35">
        <v>28</v>
      </c>
      <c r="C19" s="35">
        <f t="shared" ref="C19:C20" si="6">B19*$H$4</f>
        <v>14</v>
      </c>
      <c r="D19" s="11">
        <f t="shared" ref="D19:D20" si="7">0.2*2*SQRT(C19)</f>
        <v>1.4966629547095767</v>
      </c>
      <c r="E19" s="11">
        <f t="shared" ref="E19:E20" si="8">D19+$H$5</f>
        <v>3.0966629547095765</v>
      </c>
    </row>
    <row r="20" spans="1:7" x14ac:dyDescent="0.25">
      <c r="A20" s="35" t="s">
        <v>93</v>
      </c>
      <c r="B20" s="35">
        <v>28</v>
      </c>
      <c r="C20" s="35">
        <f t="shared" si="6"/>
        <v>14</v>
      </c>
      <c r="D20" s="11">
        <f t="shared" si="7"/>
        <v>1.4966629547095767</v>
      </c>
      <c r="E20" s="11">
        <f t="shared" si="8"/>
        <v>3.0966629547095765</v>
      </c>
    </row>
    <row r="24" spans="1:7" x14ac:dyDescent="0.25">
      <c r="A24" s="29" t="s">
        <v>73</v>
      </c>
    </row>
    <row r="25" spans="1:7" x14ac:dyDescent="0.25">
      <c r="A25" s="29"/>
    </row>
    <row r="26" spans="1:7" ht="18" x14ac:dyDescent="0.25">
      <c r="A26" s="59" t="s">
        <v>0</v>
      </c>
      <c r="B26" s="62" t="s">
        <v>67</v>
      </c>
      <c r="C26" s="63"/>
      <c r="D26" s="64" t="s">
        <v>68</v>
      </c>
      <c r="E26" s="36" t="s">
        <v>69</v>
      </c>
      <c r="F26" s="36" t="s">
        <v>70</v>
      </c>
      <c r="G26" s="30"/>
    </row>
    <row r="27" spans="1:7" ht="32.25" customHeight="1" x14ac:dyDescent="0.25">
      <c r="A27" s="59"/>
      <c r="B27" s="25" t="s">
        <v>80</v>
      </c>
      <c r="C27" s="25" t="s">
        <v>71</v>
      </c>
      <c r="D27" s="65"/>
      <c r="E27" s="26" t="s">
        <v>72</v>
      </c>
      <c r="F27" s="26" t="s">
        <v>72</v>
      </c>
      <c r="G27" s="31"/>
    </row>
    <row r="28" spans="1:7" x14ac:dyDescent="0.25">
      <c r="A28" s="27" t="s">
        <v>74</v>
      </c>
      <c r="B28" s="27">
        <v>14</v>
      </c>
      <c r="C28" s="28">
        <v>14</v>
      </c>
      <c r="D28" s="27">
        <f>B28*$J$4+C28*$I$4</f>
        <v>14</v>
      </c>
      <c r="E28" s="33">
        <f>0.2*2*SQRT(D28)</f>
        <v>1.4966629547095767</v>
      </c>
      <c r="F28" s="33">
        <f>E28+$J$5</f>
        <v>1.6966629547095766</v>
      </c>
      <c r="G28" s="32"/>
    </row>
    <row r="29" spans="1:7" x14ac:dyDescent="0.25">
      <c r="A29" s="27" t="s">
        <v>75</v>
      </c>
      <c r="B29" s="27">
        <v>14</v>
      </c>
      <c r="C29" s="27">
        <v>14</v>
      </c>
      <c r="D29" s="27">
        <f t="shared" ref="D29:D33" si="9">B29*$J$4+C29*$I$4</f>
        <v>14</v>
      </c>
      <c r="E29" s="33">
        <f t="shared" ref="E29:E33" si="10">0.2*2*SQRT(D29)</f>
        <v>1.4966629547095767</v>
      </c>
      <c r="F29" s="33">
        <f t="shared" ref="F29:F33" si="11">E29+$J$5</f>
        <v>1.6966629547095766</v>
      </c>
      <c r="G29" s="32"/>
    </row>
    <row r="30" spans="1:7" x14ac:dyDescent="0.25">
      <c r="A30" s="27" t="s">
        <v>76</v>
      </c>
      <c r="B30" s="27">
        <v>28</v>
      </c>
      <c r="C30" s="27">
        <v>28</v>
      </c>
      <c r="D30" s="27">
        <f t="shared" si="9"/>
        <v>28</v>
      </c>
      <c r="E30" s="33">
        <f t="shared" si="10"/>
        <v>2.1166010488516727</v>
      </c>
      <c r="F30" s="33">
        <f t="shared" si="11"/>
        <v>2.3166010488516728</v>
      </c>
      <c r="G30" s="32"/>
    </row>
    <row r="31" spans="1:7" x14ac:dyDescent="0.25">
      <c r="A31" s="27" t="s">
        <v>77</v>
      </c>
      <c r="B31" s="27">
        <v>42</v>
      </c>
      <c r="C31" s="28">
        <v>42</v>
      </c>
      <c r="D31" s="27">
        <f t="shared" si="9"/>
        <v>42</v>
      </c>
      <c r="E31" s="33">
        <f t="shared" si="10"/>
        <v>2.5922962793631443</v>
      </c>
      <c r="F31" s="33">
        <f t="shared" si="11"/>
        <v>2.7922962793631445</v>
      </c>
      <c r="G31" s="32"/>
    </row>
    <row r="32" spans="1:7" x14ac:dyDescent="0.25">
      <c r="A32" s="27" t="s">
        <v>78</v>
      </c>
      <c r="B32" s="27">
        <v>14</v>
      </c>
      <c r="C32" s="28">
        <v>14</v>
      </c>
      <c r="D32" s="27">
        <f t="shared" si="9"/>
        <v>14</v>
      </c>
      <c r="E32" s="33">
        <f t="shared" si="10"/>
        <v>1.4966629547095767</v>
      </c>
      <c r="F32" s="33">
        <f t="shared" si="11"/>
        <v>1.6966629547095766</v>
      </c>
      <c r="G32" s="32"/>
    </row>
    <row r="33" spans="1:7" x14ac:dyDescent="0.25">
      <c r="A33" s="27" t="s">
        <v>79</v>
      </c>
      <c r="B33" s="27">
        <v>14</v>
      </c>
      <c r="C33" s="28">
        <v>14</v>
      </c>
      <c r="D33" s="27">
        <f t="shared" si="9"/>
        <v>14</v>
      </c>
      <c r="E33" s="33">
        <f t="shared" si="10"/>
        <v>1.4966629547095767</v>
      </c>
      <c r="F33" s="33">
        <f t="shared" si="11"/>
        <v>1.6966629547095766</v>
      </c>
      <c r="G33" s="32"/>
    </row>
    <row r="34" spans="1:7" x14ac:dyDescent="0.25">
      <c r="A34" s="24"/>
    </row>
    <row r="37" spans="1:7" x14ac:dyDescent="0.25">
      <c r="A37" s="29" t="s">
        <v>81</v>
      </c>
    </row>
    <row r="38" spans="1:7" x14ac:dyDescent="0.25">
      <c r="A38" s="29"/>
    </row>
    <row r="39" spans="1:7" ht="18" x14ac:dyDescent="0.25">
      <c r="A39" s="59" t="s">
        <v>0</v>
      </c>
      <c r="B39" s="62" t="s">
        <v>67</v>
      </c>
      <c r="C39" s="63"/>
      <c r="D39" s="64" t="s">
        <v>68</v>
      </c>
      <c r="E39" s="36" t="s">
        <v>69</v>
      </c>
      <c r="F39" s="36" t="s">
        <v>70</v>
      </c>
    </row>
    <row r="40" spans="1:7" ht="33" x14ac:dyDescent="0.25">
      <c r="A40" s="59"/>
      <c r="B40" s="25" t="s">
        <v>80</v>
      </c>
      <c r="C40" s="25" t="s">
        <v>71</v>
      </c>
      <c r="D40" s="65"/>
      <c r="E40" s="26" t="s">
        <v>72</v>
      </c>
      <c r="F40" s="26" t="s">
        <v>72</v>
      </c>
    </row>
    <row r="41" spans="1:7" x14ac:dyDescent="0.25">
      <c r="A41" s="27" t="s">
        <v>82</v>
      </c>
      <c r="B41" s="27">
        <v>0</v>
      </c>
      <c r="C41" s="28">
        <v>28</v>
      </c>
      <c r="D41" s="27">
        <f>B41*$J$4+C41*$I$4</f>
        <v>9.24</v>
      </c>
      <c r="E41" s="33">
        <f>0.2*2*SQRT(D41)</f>
        <v>1.215894732285653</v>
      </c>
      <c r="F41" s="33">
        <f>E41+$J$5</f>
        <v>1.415894732285653</v>
      </c>
    </row>
    <row r="42" spans="1:7" x14ac:dyDescent="0.25">
      <c r="A42" s="27" t="s">
        <v>85</v>
      </c>
      <c r="B42" s="27">
        <v>0</v>
      </c>
      <c r="C42" s="27">
        <v>28</v>
      </c>
      <c r="D42" s="27">
        <f t="shared" ref="D42:D44" si="12">B42*$J$4+C42*$I$4</f>
        <v>9.24</v>
      </c>
      <c r="E42" s="33">
        <f t="shared" ref="E42:E44" si="13">0.2*2*SQRT(D42)</f>
        <v>1.215894732285653</v>
      </c>
      <c r="F42" s="33">
        <f t="shared" ref="F42:F44" si="14">E42+$J$5</f>
        <v>1.415894732285653</v>
      </c>
    </row>
    <row r="43" spans="1:7" x14ac:dyDescent="0.25">
      <c r="A43" s="27" t="s">
        <v>83</v>
      </c>
      <c r="B43" s="27">
        <v>14</v>
      </c>
      <c r="C43" s="28">
        <v>42</v>
      </c>
      <c r="D43" s="27">
        <f t="shared" si="12"/>
        <v>23.240000000000002</v>
      </c>
      <c r="E43" s="33">
        <f t="shared" si="13"/>
        <v>1.9283153269110322</v>
      </c>
      <c r="F43" s="33">
        <f t="shared" si="14"/>
        <v>2.1283153269110322</v>
      </c>
    </row>
    <row r="44" spans="1:7" x14ac:dyDescent="0.25">
      <c r="A44" s="27" t="s">
        <v>84</v>
      </c>
      <c r="B44" s="27">
        <v>14</v>
      </c>
      <c r="C44" s="28">
        <v>14</v>
      </c>
      <c r="D44" s="27">
        <f t="shared" si="12"/>
        <v>14</v>
      </c>
      <c r="E44" s="33">
        <f t="shared" si="13"/>
        <v>1.4966629547095767</v>
      </c>
      <c r="F44" s="33">
        <f t="shared" si="14"/>
        <v>1.6966629547095766</v>
      </c>
    </row>
    <row r="48" spans="1:7" x14ac:dyDescent="0.25">
      <c r="A48" s="5" t="s">
        <v>94</v>
      </c>
    </row>
    <row r="50" spans="1:8" ht="34.5" customHeight="1" x14ac:dyDescent="0.25">
      <c r="A50" s="59" t="s">
        <v>0</v>
      </c>
      <c r="B50" s="59" t="s">
        <v>1</v>
      </c>
      <c r="C50" s="59"/>
      <c r="D50" s="59" t="s">
        <v>68</v>
      </c>
      <c r="E50" s="60" t="s">
        <v>97</v>
      </c>
      <c r="F50" s="60" t="s">
        <v>101</v>
      </c>
      <c r="G50" s="60" t="s">
        <v>98</v>
      </c>
      <c r="H50" s="58" t="s">
        <v>103</v>
      </c>
    </row>
    <row r="51" spans="1:8" ht="33" x14ac:dyDescent="0.25">
      <c r="A51" s="59"/>
      <c r="B51" s="25" t="s">
        <v>80</v>
      </c>
      <c r="C51" s="25" t="s">
        <v>71</v>
      </c>
      <c r="D51" s="59"/>
      <c r="E51" s="61"/>
      <c r="F51" s="61"/>
      <c r="G51" s="61"/>
      <c r="H51" s="58"/>
    </row>
    <row r="52" spans="1:8" x14ac:dyDescent="0.25">
      <c r="A52" s="27" t="s">
        <v>99</v>
      </c>
      <c r="B52" s="27">
        <v>0</v>
      </c>
      <c r="C52" s="27">
        <v>0</v>
      </c>
      <c r="D52" s="27">
        <f t="shared" ref="D52:D55" si="15">B52*$J$4+C52*$I$4</f>
        <v>0</v>
      </c>
      <c r="E52" s="28">
        <v>0</v>
      </c>
      <c r="F52" s="28">
        <v>0</v>
      </c>
      <c r="G52" s="41">
        <f>E7</f>
        <v>3.4330302779823363</v>
      </c>
      <c r="H52" s="41">
        <f>SUM(E52:G52)</f>
        <v>3.4330302779823363</v>
      </c>
    </row>
    <row r="53" spans="1:8" x14ac:dyDescent="0.25">
      <c r="A53" s="27" t="s">
        <v>95</v>
      </c>
      <c r="B53" s="27">
        <v>42</v>
      </c>
      <c r="C53" s="27">
        <v>42</v>
      </c>
      <c r="D53" s="27">
        <f t="shared" si="15"/>
        <v>42</v>
      </c>
      <c r="E53" s="33">
        <f>0.2*2*SQRT(D53)</f>
        <v>2.5922962793631443</v>
      </c>
      <c r="F53" s="27">
        <f>J5</f>
        <v>0.2</v>
      </c>
      <c r="G53" s="27">
        <v>0</v>
      </c>
      <c r="H53" s="41">
        <f>SUM(E53:G53)+H52</f>
        <v>6.2253265573454808</v>
      </c>
    </row>
    <row r="54" spans="1:8" x14ac:dyDescent="0.25">
      <c r="A54" s="40" t="s">
        <v>96</v>
      </c>
      <c r="B54" s="40">
        <v>56</v>
      </c>
      <c r="C54" s="40">
        <v>84</v>
      </c>
      <c r="D54" s="27">
        <f t="shared" si="15"/>
        <v>65.240000000000009</v>
      </c>
      <c r="E54" s="33">
        <f t="shared" ref="E54:E55" si="16">0.2*2*SQRT(D54)</f>
        <v>3.2308512810093881</v>
      </c>
      <c r="F54" s="40">
        <f>J5</f>
        <v>0.2</v>
      </c>
      <c r="G54" s="40">
        <v>0</v>
      </c>
      <c r="H54" s="41">
        <f>SUM(E54:G54)+H53</f>
        <v>9.6561778383548695</v>
      </c>
    </row>
    <row r="55" spans="1:8" x14ac:dyDescent="0.25">
      <c r="A55" s="40" t="s">
        <v>100</v>
      </c>
      <c r="B55" s="40">
        <v>0</v>
      </c>
      <c r="C55" s="40">
        <v>0</v>
      </c>
      <c r="D55" s="27">
        <f t="shared" si="15"/>
        <v>0</v>
      </c>
      <c r="E55" s="33">
        <f t="shared" si="16"/>
        <v>0</v>
      </c>
      <c r="F55" s="40">
        <v>0</v>
      </c>
      <c r="G55" s="42">
        <f>E18</f>
        <v>3.4330302779823363</v>
      </c>
      <c r="H55" s="42">
        <f>SUM(E55:G55)</f>
        <v>3.4330302779823363</v>
      </c>
    </row>
  </sheetData>
  <mergeCells count="13">
    <mergeCell ref="A50:A51"/>
    <mergeCell ref="A39:A40"/>
    <mergeCell ref="B39:C39"/>
    <mergeCell ref="D39:D40"/>
    <mergeCell ref="A26:A27"/>
    <mergeCell ref="B26:C26"/>
    <mergeCell ref="D26:D27"/>
    <mergeCell ref="H50:H51"/>
    <mergeCell ref="B50:C50"/>
    <mergeCell ref="D50:D51"/>
    <mergeCell ref="E50:E51"/>
    <mergeCell ref="G50:G51"/>
    <mergeCell ref="F50:F5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Tinh thuy luc cap</vt:lpstr>
      <vt:lpstr>TH luu luong thoat</vt:lpstr>
      <vt:lpstr>'TH luu luong thoat'!đến_đây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The Pham</dc:creator>
  <cp:lastModifiedBy>Duong The Pham</cp:lastModifiedBy>
  <dcterms:created xsi:type="dcterms:W3CDTF">2019-05-02T09:11:36Z</dcterms:created>
  <dcterms:modified xsi:type="dcterms:W3CDTF">2019-06-05T13:59:07Z</dcterms:modified>
</cp:coreProperties>
</file>